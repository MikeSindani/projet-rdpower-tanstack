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pport 1-14 Juin 2026" sheetId="1" state="visible" r:id="rId1"/>
  </sheets>
  <definedNames>
    <definedName name="_xlnm.Print_Titles" localSheetId="0">'Rapport 1-14 Juin 2026'!$1:$4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20"/>
    </font>
    <font>
      <name val="Calibri"/>
      <b val="1"/>
      <sz val="14"/>
    </font>
    <font>
      <name val="Calibri"/>
      <b val="1"/>
      <sz val="11"/>
    </font>
    <font>
      <name val="Calibri"/>
      <b val="1"/>
      <color rgb="00FF0000"/>
      <sz val="11"/>
    </font>
    <font>
      <name val="Calibri"/>
      <sz val="11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i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EBF1DE"/>
      </patternFill>
    </fill>
    <fill>
      <patternFill patternType="solid">
        <fgColor rgb="00FFFFFF"/>
      </patternFill>
    </fill>
    <fill>
      <patternFill patternType="solid">
        <fgColor rgb="00808080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3" fontId="0" fillId="3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right" vertical="top" wrapText="1"/>
    </xf>
    <xf numFmtId="4" fontId="0" fillId="3" borderId="2" applyAlignment="1" pivotButton="0" quotePrefix="0" xfId="0">
      <alignment horizontal="right" vertical="center"/>
    </xf>
    <xf numFmtId="0" fontId="3" fillId="4" borderId="2" applyAlignment="1" pivotButton="0" quotePrefix="0" xfId="0">
      <alignment horizontal="left" vertical="center"/>
    </xf>
    <xf numFmtId="3" fontId="0" fillId="4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right" vertical="top" wrapText="1"/>
    </xf>
    <xf numFmtId="4" fontId="0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right" vertical="top" wrapText="1"/>
    </xf>
    <xf numFmtId="0" fontId="5" fillId="3" borderId="2" applyAlignment="1" pivotButton="0" quotePrefix="0" xfId="0">
      <alignment horizontal="right" vertical="top" wrapText="1"/>
    </xf>
    <xf numFmtId="0" fontId="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50" customWidth="1" min="4" max="4"/>
    <col width="20" customWidth="1" min="5" max="5"/>
    <col hidden="1" width="0.5" customWidth="1" min="6" max="6"/>
  </cols>
  <sheetData>
    <row r="1" ht="36" customHeight="1">
      <c r="A1" s="1" t="inlineStr">
        <is>
          <t>RAPPORT BIMENSUEL</t>
        </is>
      </c>
    </row>
    <row r="2" ht="26" customHeight="1">
      <c r="A2" s="2" t="inlineStr">
        <is>
          <t>DU 1 AU 14 JUIN 2026</t>
        </is>
      </c>
    </row>
    <row r="3" ht="8" customHeight="1"/>
    <row r="4" ht="38" customHeight="1">
      <c r="A4" s="3" t="inlineStr">
        <is>
          <t>CATÉGORIE</t>
        </is>
      </c>
      <c r="B4" s="3" t="inlineStr">
        <is>
          <t>RECETTE TOTALE
DU JOUR</t>
        </is>
      </c>
      <c r="C4" s="3" t="inlineStr">
        <is>
          <t>DÉPENSES ACHAT
STOCK</t>
        </is>
      </c>
      <c r="D4" s="3" t="inlineStr">
        <is>
          <t>AUTRES
DÉPENSES</t>
        </is>
      </c>
      <c r="E4" s="3" t="inlineStr">
        <is>
          <t>SOLDE CAISSE</t>
        </is>
      </c>
    </row>
    <row r="5" ht="52" customHeight="1">
      <c r="A5" s="4" t="inlineStr">
        <is>
          <t>LUNDI 1</t>
        </is>
      </c>
      <c r="B5" s="5" t="n"/>
      <c r="C5" s="5" t="n"/>
      <c r="D5" s="6" t="inlineStr">
        <is>
          <t>105 000
Achats pain + transport</t>
        </is>
      </c>
      <c r="E5" s="7">
        <f>IFERROR(B5,0)-IFERROR(C5,0)-F5</f>
        <v/>
      </c>
      <c r="F5" t="n">
        <v>105000</v>
      </c>
    </row>
    <row r="6" ht="52" customHeight="1">
      <c r="A6" s="8" t="inlineStr">
        <is>
          <t>MARDI 2</t>
        </is>
      </c>
      <c r="B6" s="9" t="n"/>
      <c r="C6" s="9" t="n"/>
      <c r="D6" s="10" t="inlineStr">
        <is>
          <t>80 000
Panne électricité</t>
        </is>
      </c>
      <c r="E6" s="11">
        <f>E5+IFERROR(B6,0)-IFERROR(C6,0)-F6</f>
        <v/>
      </c>
      <c r="F6" t="n">
        <v>80000</v>
      </c>
    </row>
    <row r="7" ht="52" customHeight="1">
      <c r="A7" s="4" t="inlineStr">
        <is>
          <t>MERCREDI 3</t>
        </is>
      </c>
      <c r="B7" s="5" t="n"/>
      <c r="C7" s="5" t="n"/>
      <c r="D7" s="6" t="inlineStr">
        <is>
          <t>66 000
Achats verre boissons SOLAC</t>
        </is>
      </c>
      <c r="E7" s="7">
        <f>E6+IFERROR(B7,0)-IFERROR(C7,0)-F7</f>
        <v/>
      </c>
      <c r="F7" t="n">
        <v>66000</v>
      </c>
    </row>
    <row r="8" ht="52" customHeight="1">
      <c r="A8" s="8" t="inlineStr">
        <is>
          <t>JEUDI 4</t>
        </is>
      </c>
      <c r="B8" s="9" t="n"/>
      <c r="C8" s="9" t="n"/>
      <c r="D8" s="10" t="inlineStr">
        <is>
          <t>50 000
Bosse</t>
        </is>
      </c>
      <c r="E8" s="11">
        <f>E7+IFERROR(B8,0)-IFERROR(C8,0)-F8</f>
        <v/>
      </c>
      <c r="F8" t="n">
        <v>50000</v>
      </c>
    </row>
    <row r="9" ht="52" customHeight="1">
      <c r="A9" s="4" t="inlineStr">
        <is>
          <t>VENDREDI 5</t>
        </is>
      </c>
      <c r="B9" s="5" t="n"/>
      <c r="C9" s="5" t="n"/>
      <c r="D9" s="6" t="inlineStr">
        <is>
          <t>88 000
Achat Kit complet + abonnement Canal+ (40 $)</t>
        </is>
      </c>
      <c r="E9" s="7">
        <f>E8+IFERROR(B9,0)-IFERROR(C9,0)-F9</f>
        <v/>
      </c>
      <c r="F9" t="n">
        <v>88000</v>
      </c>
    </row>
    <row r="10" ht="52" customHeight="1">
      <c r="A10" s="8" t="inlineStr">
        <is>
          <t>SAMEDI 6</t>
        </is>
      </c>
      <c r="B10" s="9" t="n"/>
      <c r="C10" s="9" t="n"/>
      <c r="D10" s="10" t="inlineStr">
        <is>
          <t>90 000
Achat 3 maillots RDC serveuse (Uniforme)</t>
        </is>
      </c>
      <c r="E10" s="11">
        <f>E9+IFERROR(B10,0)-IFERROR(C10,0)-F10</f>
        <v/>
      </c>
      <c r="F10" t="n">
        <v>90000</v>
      </c>
    </row>
    <row r="11" ht="52" customHeight="1">
      <c r="A11" s="4" t="inlineStr">
        <is>
          <t>DIMANCHE 7</t>
        </is>
      </c>
      <c r="B11" s="5" t="n"/>
      <c r="C11" s="5" t="n"/>
      <c r="D11" s="6" t="inlineStr">
        <is>
          <t>132 000
Mère bosse (60 $)</t>
        </is>
      </c>
      <c r="E11" s="7">
        <f>E10+IFERROR(B11,0)-IFERROR(C11,0)-F11</f>
        <v/>
      </c>
      <c r="F11" t="n">
        <v>132000</v>
      </c>
    </row>
    <row r="12" ht="20" customHeight="1">
      <c r="A12" s="8" t="inlineStr">
        <is>
          <t>LUNDI 8</t>
        </is>
      </c>
      <c r="B12" s="9" t="n"/>
      <c r="C12" s="9" t="n"/>
      <c r="D12" s="12" t="inlineStr">
        <is>
          <t>0</t>
        </is>
      </c>
      <c r="E12" s="11">
        <f>E11+IFERROR(B12,0)-IFERROR(C12,0)-F12</f>
        <v/>
      </c>
      <c r="F12" t="n">
        <v>0</v>
      </c>
    </row>
    <row r="13" ht="20" customHeight="1">
      <c r="A13" s="4" t="inlineStr">
        <is>
          <t>MARDI 9</t>
        </is>
      </c>
      <c r="B13" s="5" t="n"/>
      <c r="C13" s="5" t="n"/>
      <c r="D13" s="13" t="inlineStr">
        <is>
          <t>0</t>
        </is>
      </c>
      <c r="E13" s="7">
        <f>E12+IFERROR(B13,0)-IFERROR(C13,0)-F13</f>
        <v/>
      </c>
      <c r="F13" t="n">
        <v>0</v>
      </c>
    </row>
    <row r="14" ht="52" customHeight="1">
      <c r="A14" s="8" t="inlineStr">
        <is>
          <t>MERCREDI 10</t>
        </is>
      </c>
      <c r="B14" s="9" t="n"/>
      <c r="C14" s="9" t="n"/>
      <c r="D14" s="10" t="inlineStr">
        <is>
          <t>330 000
Salaire gérant</t>
        </is>
      </c>
      <c r="E14" s="11">
        <f>E13+IFERROR(B14,0)-IFERROR(C14,0)-F14</f>
        <v/>
      </c>
      <c r="F14" t="n">
        <v>330000</v>
      </c>
    </row>
    <row r="15" ht="20" customHeight="1">
      <c r="A15" s="4" t="inlineStr">
        <is>
          <t>JEUDI 11</t>
        </is>
      </c>
      <c r="B15" s="5" t="n"/>
      <c r="C15" s="5" t="n"/>
      <c r="D15" s="13" t="inlineStr">
        <is>
          <t>0</t>
        </is>
      </c>
      <c r="E15" s="7">
        <f>E14+IFERROR(B15,0)-IFERROR(C15,0)-F15</f>
        <v/>
      </c>
      <c r="F15" t="n">
        <v>0</v>
      </c>
    </row>
    <row r="16" ht="20" customHeight="1">
      <c r="A16" s="8" t="inlineStr">
        <is>
          <t>VENDREDI 12</t>
        </is>
      </c>
      <c r="B16" s="9" t="n"/>
      <c r="C16" s="9" t="n"/>
      <c r="D16" s="12" t="inlineStr">
        <is>
          <t>0</t>
        </is>
      </c>
      <c r="E16" s="11">
        <f>E15+IFERROR(B16,0)-IFERROR(C16,0)-F16</f>
        <v/>
      </c>
      <c r="F16" t="n">
        <v>0</v>
      </c>
    </row>
    <row r="17" ht="52" customHeight="1">
      <c r="A17" s="4" t="inlineStr">
        <is>
          <t>SAMEDI 13</t>
        </is>
      </c>
      <c r="B17" s="5" t="n"/>
      <c r="C17" s="5" t="n"/>
      <c r="D17" s="6" t="inlineStr">
        <is>
          <t>220 000
Serveuse Dimercia (salaire)</t>
        </is>
      </c>
      <c r="E17" s="7">
        <f>E16+IFERROR(B17,0)-IFERROR(C17,0)-F17</f>
        <v/>
      </c>
      <c r="F17" t="n">
        <v>220000</v>
      </c>
    </row>
    <row r="18" ht="52" customHeight="1">
      <c r="A18" s="8" t="inlineStr">
        <is>
          <t>DIMANCHE 14</t>
        </is>
      </c>
      <c r="B18" s="9" t="n"/>
      <c r="C18" s="9" t="n"/>
      <c r="D18" s="10" t="inlineStr">
        <is>
          <t>450 000
Serveuse Clarisse (salaire)
→ Solde cible : 50 $ = 110 000 FC</t>
        </is>
      </c>
      <c r="E18" s="11">
        <f>E17+IFERROR(B18,0)-IFERROR(C18,0)-F18</f>
        <v/>
      </c>
      <c r="F18" t="n">
        <v>450000</v>
      </c>
    </row>
    <row r="19" ht="26" customHeight="1">
      <c r="A19" s="14" t="inlineStr">
        <is>
          <t>TOTAL GÉNÉRAL</t>
        </is>
      </c>
      <c r="B19" s="15">
        <f>SUM(B5:B18)</f>
        <v/>
      </c>
      <c r="C19" s="15">
        <f>SUM(C5:C18)</f>
        <v/>
      </c>
      <c r="D19" s="15">
        <f>SUM(F5:F18)</f>
        <v/>
      </c>
      <c r="E19" s="15">
        <f>E18</f>
        <v/>
      </c>
    </row>
    <row r="21" ht="32" customHeight="1">
      <c r="A21" s="16" t="inlineStr">
        <is>
          <t>NB : La caisse doit finir avec 50 $ ≈ 110 000 FC (taux : 2 200 FC/$).  Compléter les colonnes RECETTE TOTALE DU JOUR et DÉPENSES ACHAT STOCK.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2026-06-23T07:04:38Z</dcterms:created>
  <dcterms:modified xsi:type="dcterms:W3CDTF">2026-06-23T07:04:38Z</dcterms:modified>
</cp:coreProperties>
</file>