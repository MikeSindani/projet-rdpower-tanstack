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pport 1-14 Juin 2026" sheetId="1" state="visible" r:id="rId1"/>
  </sheets>
  <definedNames>
    <definedName name="_xlnm.Print_Titles" localSheetId="0">'Rapport 1-14 Juin 2026'!$1:$4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sz val="20"/>
    </font>
    <font>
      <name val="Calibri"/>
      <b val="1"/>
      <sz val="14"/>
    </font>
    <font>
      <name val="Calibri"/>
      <b val="1"/>
      <sz val="11"/>
    </font>
    <font>
      <name val="Calibri"/>
      <b val="1"/>
      <color rgb="00FF0000"/>
      <sz val="11"/>
    </font>
    <font>
      <name val="Calibri"/>
      <sz val="11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b val="1"/>
      <i val="1"/>
      <color rgb="00C00000"/>
      <sz val="10"/>
    </font>
  </fonts>
  <fills count="6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EBF1DE"/>
      </patternFill>
    </fill>
    <fill>
      <patternFill patternType="solid">
        <fgColor rgb="00FFFFFF"/>
      </patternFill>
    </fill>
    <fill>
      <patternFill patternType="solid">
        <fgColor rgb="00808080"/>
      </patternFill>
    </fill>
  </fills>
  <borders count="3">
    <border>
      <left/>
      <right/>
      <top/>
      <bottom/>
      <diagonal/>
    </border>
    <border>
      <left style="medium"/>
      <right style="medium"/>
      <top style="medium"/>
      <bottom style="medium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left" vertical="center"/>
    </xf>
    <xf numFmtId="3" fontId="0" fillId="3" borderId="2" applyAlignment="1" pivotButton="0" quotePrefix="0" xfId="0">
      <alignment horizontal="right" vertical="center"/>
    </xf>
    <xf numFmtId="0" fontId="4" fillId="3" borderId="2" applyAlignment="1" pivotButton="0" quotePrefix="0" xfId="0">
      <alignment horizontal="right" vertical="top" wrapText="1"/>
    </xf>
    <xf numFmtId="0" fontId="3" fillId="4" borderId="2" applyAlignment="1" pivotButton="0" quotePrefix="0" xfId="0">
      <alignment horizontal="left" vertical="center"/>
    </xf>
    <xf numFmtId="3" fontId="0" fillId="4" borderId="2" applyAlignment="1" pivotButton="0" quotePrefix="0" xfId="0">
      <alignment horizontal="right" vertical="center"/>
    </xf>
    <xf numFmtId="0" fontId="4" fillId="4" borderId="2" applyAlignment="1" pivotButton="0" quotePrefix="0" xfId="0">
      <alignment horizontal="right" vertical="top" wrapText="1"/>
    </xf>
    <xf numFmtId="0" fontId="5" fillId="4" borderId="2" applyAlignment="1" pivotButton="0" quotePrefix="0" xfId="0">
      <alignment horizontal="right" vertical="top" wrapText="1"/>
    </xf>
    <xf numFmtId="0" fontId="5" fillId="3" borderId="2" applyAlignment="1" pivotButton="0" quotePrefix="0" xfId="0">
      <alignment horizontal="right" vertical="top" wrapText="1"/>
    </xf>
    <xf numFmtId="0" fontId="6" fillId="5" borderId="1" applyAlignment="1" pivotButton="0" quotePrefix="0" xfId="0">
      <alignment horizontal="center" vertical="center"/>
    </xf>
    <xf numFmtId="4" fontId="7" fillId="5" borderId="1" applyAlignment="1" pivotButton="0" quotePrefix="0" xfId="0">
      <alignment horizontal="right" vertical="center"/>
    </xf>
    <xf numFmtId="0" fontId="8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2" customWidth="1" min="3" max="3"/>
    <col width="46" customWidth="1" min="4" max="4"/>
    <col width="18" customWidth="1" min="5" max="5"/>
  </cols>
  <sheetData>
    <row r="1" ht="36" customHeight="1">
      <c r="A1" s="1" t="inlineStr">
        <is>
          <t>RAPPORT BIMENSUEL</t>
        </is>
      </c>
    </row>
    <row r="2" ht="26" customHeight="1">
      <c r="A2" s="2" t="inlineStr">
        <is>
          <t>DU 1 AU 14 JUIN 2026</t>
        </is>
      </c>
    </row>
    <row r="3" ht="8" customHeight="1"/>
    <row r="4" ht="38" customHeight="1">
      <c r="A4" s="3" t="inlineStr">
        <is>
          <t>CATÉGORIE</t>
        </is>
      </c>
      <c r="B4" s="3" t="inlineStr">
        <is>
          <t>RECETTE TOTALE
DU JOUR</t>
        </is>
      </c>
      <c r="C4" s="3" t="inlineStr">
        <is>
          <t>DÉPENSES ACHAT
STOCK</t>
        </is>
      </c>
      <c r="D4" s="3" t="inlineStr">
        <is>
          <t>AUTRES
DÉPENSES</t>
        </is>
      </c>
      <c r="E4" s="3" t="inlineStr">
        <is>
          <t>SOLDE CAISSE</t>
        </is>
      </c>
    </row>
    <row r="5" ht="50" customHeight="1">
      <c r="A5" s="4" t="inlineStr">
        <is>
          <t>LUNDI 1</t>
        </is>
      </c>
      <c r="B5" s="5" t="n">
        <v>350000</v>
      </c>
      <c r="C5" s="5" t="n">
        <v>240000</v>
      </c>
      <c r="D5" s="6" t="inlineStr">
        <is>
          <t>105 000
Achats pain + transport</t>
        </is>
      </c>
      <c r="E5" s="5">
        <f>B5-C5-105000</f>
        <v/>
      </c>
    </row>
    <row r="6" ht="40" customHeight="1">
      <c r="A6" s="7" t="inlineStr">
        <is>
          <t>MARDI 2</t>
        </is>
      </c>
      <c r="B6" s="8" t="n">
        <v>300000</v>
      </c>
      <c r="C6" s="8" t="n">
        <v>215000</v>
      </c>
      <c r="D6" s="9" t="inlineStr">
        <is>
          <t>80 000
Panne électricité</t>
        </is>
      </c>
      <c r="E6" s="8">
        <f>B6-C6-80000</f>
        <v/>
      </c>
    </row>
    <row r="7" ht="40" customHeight="1">
      <c r="A7" s="4" t="inlineStr">
        <is>
          <t>MERCREDI 3</t>
        </is>
      </c>
      <c r="B7" s="5" t="n">
        <v>250000</v>
      </c>
      <c r="C7" s="5" t="n">
        <v>179000</v>
      </c>
      <c r="D7" s="6" t="inlineStr">
        <is>
          <t>66 000
Achats verre boissons SOLAC</t>
        </is>
      </c>
      <c r="E7" s="5">
        <f>B7-C7-66000</f>
        <v/>
      </c>
    </row>
    <row r="8" ht="40" customHeight="1">
      <c r="A8" s="7" t="inlineStr">
        <is>
          <t>JEUDI 4</t>
        </is>
      </c>
      <c r="B8" s="8" t="n">
        <v>350000</v>
      </c>
      <c r="C8" s="8" t="n">
        <v>295000</v>
      </c>
      <c r="D8" s="9" t="inlineStr">
        <is>
          <t>50 000
Bosse</t>
        </is>
      </c>
      <c r="E8" s="8">
        <f>B8-C8-50000</f>
        <v/>
      </c>
    </row>
    <row r="9" ht="54" customHeight="1">
      <c r="A9" s="4" t="inlineStr">
        <is>
          <t>VENDREDI 5</t>
        </is>
      </c>
      <c r="B9" s="5" t="n">
        <v>500000</v>
      </c>
      <c r="C9" s="5" t="n">
        <v>402000</v>
      </c>
      <c r="D9" s="6" t="inlineStr">
        <is>
          <t>88 000
Achat Kit complet +
abonnement Canal+ (40 $)</t>
        </is>
      </c>
      <c r="E9" s="5">
        <f>B9-C9-88000</f>
        <v/>
      </c>
    </row>
    <row r="10" ht="54" customHeight="1">
      <c r="A10" s="7" t="inlineStr">
        <is>
          <t>SAMEDI 6</t>
        </is>
      </c>
      <c r="B10" s="8" t="n">
        <v>400000</v>
      </c>
      <c r="C10" s="8" t="n">
        <v>300000</v>
      </c>
      <c r="D10" s="9" t="inlineStr">
        <is>
          <t>90 000
Achat 3 maillots RDC
serveuse (Uniforme)</t>
        </is>
      </c>
      <c r="E10" s="8">
        <f>B10-C10-90000</f>
        <v/>
      </c>
    </row>
    <row r="11" ht="40" customHeight="1">
      <c r="A11" s="4" t="inlineStr">
        <is>
          <t>DIMANCHE 7</t>
        </is>
      </c>
      <c r="B11" s="5" t="n">
        <v>450000</v>
      </c>
      <c r="C11" s="5" t="n">
        <v>313000</v>
      </c>
      <c r="D11" s="6" t="inlineStr">
        <is>
          <t>132 000
Mère bosse (60 $)</t>
        </is>
      </c>
      <c r="E11" s="5">
        <f>B11-C11-132000</f>
        <v/>
      </c>
    </row>
    <row r="12" ht="20" customHeight="1">
      <c r="A12" s="7" t="inlineStr">
        <is>
          <t>LUNDI 8</t>
        </is>
      </c>
      <c r="B12" s="8" t="n">
        <v>220000</v>
      </c>
      <c r="C12" s="8" t="n">
        <v>210000</v>
      </c>
      <c r="D12" s="10" t="inlineStr">
        <is>
          <t>0</t>
        </is>
      </c>
      <c r="E12" s="8">
        <f>B12-C12-0</f>
        <v/>
      </c>
    </row>
    <row r="13" ht="20" customHeight="1">
      <c r="A13" s="4" t="inlineStr">
        <is>
          <t>MARDI 9</t>
        </is>
      </c>
      <c r="B13" s="5" t="n">
        <v>240000</v>
      </c>
      <c r="C13" s="5" t="n">
        <v>230000</v>
      </c>
      <c r="D13" s="11" t="inlineStr">
        <is>
          <t>0</t>
        </is>
      </c>
      <c r="E13" s="5">
        <f>B13-C13-0</f>
        <v/>
      </c>
    </row>
    <row r="14" ht="40" customHeight="1">
      <c r="A14" s="7" t="inlineStr">
        <is>
          <t>MERCREDI 10</t>
        </is>
      </c>
      <c r="B14" s="8" t="n">
        <v>850000</v>
      </c>
      <c r="C14" s="8" t="n">
        <v>500000</v>
      </c>
      <c r="D14" s="9" t="inlineStr">
        <is>
          <t>330 000
Salaire gérant</t>
        </is>
      </c>
      <c r="E14" s="8">
        <f>B14-C14-330000</f>
        <v/>
      </c>
    </row>
    <row r="15" ht="20" customHeight="1">
      <c r="A15" s="4" t="inlineStr">
        <is>
          <t>JEUDI 11</t>
        </is>
      </c>
      <c r="B15" s="5" t="n">
        <v>300000</v>
      </c>
      <c r="C15" s="5" t="n">
        <v>295000</v>
      </c>
      <c r="D15" s="11" t="inlineStr">
        <is>
          <t>0</t>
        </is>
      </c>
      <c r="E15" s="5">
        <f>B15-C15-0</f>
        <v/>
      </c>
    </row>
    <row r="16" ht="20" customHeight="1">
      <c r="A16" s="7" t="inlineStr">
        <is>
          <t>VENDREDI 12</t>
        </is>
      </c>
      <c r="B16" s="8" t="n">
        <v>450000</v>
      </c>
      <c r="C16" s="8" t="n">
        <v>445000</v>
      </c>
      <c r="D16" s="10" t="inlineStr">
        <is>
          <t>0</t>
        </is>
      </c>
      <c r="E16" s="8">
        <f>B16-C16-0</f>
        <v/>
      </c>
    </row>
    <row r="17" ht="40" customHeight="1">
      <c r="A17" s="4" t="inlineStr">
        <is>
          <t>SAMEDI 13</t>
        </is>
      </c>
      <c r="B17" s="5" t="n">
        <v>480000</v>
      </c>
      <c r="C17" s="5" t="n">
        <v>255000</v>
      </c>
      <c r="D17" s="6" t="inlineStr">
        <is>
          <t>220 000
Serveuse Dimercia (salaire)</t>
        </is>
      </c>
      <c r="E17" s="5">
        <f>B17-C17-220000</f>
        <v/>
      </c>
    </row>
    <row r="18" ht="60" customHeight="1">
      <c r="A18" s="7" t="inlineStr">
        <is>
          <t>DIMANCHE 14</t>
        </is>
      </c>
      <c r="B18" s="8" t="n">
        <v>820000</v>
      </c>
      <c r="C18" s="8" t="n">
        <v>360000</v>
      </c>
      <c r="D18" s="9" t="inlineStr">
        <is>
          <t>450 000
Serveuse Clarisse (salaire)
→ Caisse cible : 50 $ = 110 000 FC</t>
        </is>
      </c>
      <c r="E18" s="8">
        <f>B18-C18-450000</f>
        <v/>
      </c>
    </row>
    <row r="19" ht="26" customHeight="1">
      <c r="A19" s="12" t="inlineStr">
        <is>
          <t>TOTAL GÉNÉRAL</t>
        </is>
      </c>
      <c r="B19" s="13">
        <f>SUM(B5:B18)</f>
        <v/>
      </c>
      <c r="C19" s="13">
        <f>SUM(C5:C18)</f>
        <v/>
      </c>
      <c r="D19" s="13" t="n">
        <v>1611000</v>
      </c>
      <c r="E19" s="13">
        <f>B19-C19-D19</f>
        <v/>
      </c>
    </row>
    <row r="21" ht="30" customHeight="1">
      <c r="A21" s="14" t="inlineStr">
        <is>
          <t>NB : Solde cible = 50 $ = 110 000 FC (taux : 2 200 FC/$).  ΣRecette (5 960 000) − ΣStock (4 239 000) − ΣAutres (1 611 000) = 110 000 FC ✓</t>
        </is>
      </c>
    </row>
  </sheetData>
  <mergeCells count="3">
    <mergeCell ref="A2:E2"/>
    <mergeCell ref="A1:E1"/>
    <mergeCell ref="A21:E2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2026-06-23T07:20:15Z</dcterms:created>
  <dcterms:modified xsi:type="dcterms:W3CDTF">2026-06-23T07:20:15Z</dcterms:modified>
</cp:coreProperties>
</file>